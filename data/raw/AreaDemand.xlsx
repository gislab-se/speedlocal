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ifecloud-my.sharepoint.com/personal/thor_sazon_ife_no/Documents/Documents/Projects/Speedlocal/"/>
    </mc:Choice>
  </mc:AlternateContent>
  <xr:revisionPtr revIDLastSave="0" documentId="8_{B84639EF-2958-4387-84FF-FA5B2486550F}" xr6:coauthVersionLast="47" xr6:coauthVersionMax="47" xr10:uidLastSave="{00000000-0000-0000-0000-000000000000}"/>
  <bookViews>
    <workbookView xWindow="-108" yWindow="-108" windowWidth="23256" windowHeight="13896" xr2:uid="{7B1E4053-ED52-48E3-B6E2-7EDDB35D796B}"/>
  </bookViews>
  <sheets>
    <sheet name="GWh_pr_km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 i="1" l="1"/>
  <c r="D61" i="1"/>
  <c r="F56" i="1"/>
  <c r="F55" i="1"/>
  <c r="F54" i="1"/>
  <c r="D55" i="1"/>
  <c r="D56" i="1"/>
  <c r="D57" i="1"/>
  <c r="D58" i="1"/>
  <c r="D54" i="1"/>
  <c r="B58" i="1"/>
  <c r="B57" i="1"/>
  <c r="B56" i="1"/>
  <c r="B55" i="1"/>
  <c r="B54" i="1"/>
  <c r="B51" i="1"/>
  <c r="D43" i="1"/>
  <c r="E43" i="1" s="1"/>
  <c r="G45" i="1"/>
  <c r="D42" i="1"/>
  <c r="E42" i="1" s="1"/>
  <c r="C40" i="1"/>
  <c r="G40" i="1"/>
  <c r="D40" i="1"/>
  <c r="E40" i="1" s="1"/>
  <c r="G36" i="1"/>
  <c r="G37" i="1"/>
  <c r="G38" i="1"/>
  <c r="G39" i="1"/>
  <c r="G41" i="1"/>
  <c r="D35" i="1"/>
  <c r="E35" i="1" s="1"/>
  <c r="G35" i="1"/>
  <c r="D36" i="1"/>
  <c r="E36" i="1" s="1"/>
  <c r="D37" i="1"/>
  <c r="E37" i="1" s="1"/>
  <c r="D38" i="1"/>
  <c r="E38" i="1" s="1"/>
  <c r="D39" i="1"/>
  <c r="E39" i="1" s="1"/>
  <c r="D41" i="1"/>
  <c r="E4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tc={C06D2043-480C-4E9E-ACB9-6E3FFA9CE226}</author>
    <author>tc={3443BC80-6BD6-4838-BA9E-EFE1C38E5D55}</author>
    <author>tc={2680D73E-6FC3-464D-826F-DF82493575ED}</author>
    <author>tc={98BE8B92-AF24-45DD-BAA5-AC8BE426E834}</author>
    <author>tc={F8B5BA61-BF3C-4D19-94A3-B7A582501550}</author>
  </authors>
  <commentList>
    <comment ref="C2" authorId="0" shapeId="0" xr:uid="{C06D2043-480C-4E9E-ACB9-6E3FFA9CE226}">
      <text>
        <t xml:space="preserve">[Threaded comment]
Your version of Excel allows you to read this threaded comment; however, any edits to it will get removed if the file is opened in a newer version of Excel. Learn more: https://go.microsoft.com/fwlink/?linkid=870924
Comment:
    https://www.sciencedirect.com/science/article/pii/S0960148125011760#fig1
Reply:
    However, our analysis of hydropower shows a divergence, attributed to the inclusion of small-scale and run-of-river power plants, which Noland et al. (2022)'s study omitted. This inclusion has elevated our measured production density for hydropower compared to their findings (Table 3). Additionally, our results indicate a higher production density for onshore wind than reported by Noland et al. (2022), yet the ranking remains unchanged. This discrepancy is likely due to our research being confined to Norway, as opposed to Noland et al.'s global analysis which used a different approach for mapping out the commissioned land containing the wind parks. </t>
      </text>
    </comment>
    <comment ref="D2" authorId="1" shapeId="0" xr:uid="{3443BC80-6BD6-4838-BA9E-EFE1C38E5D55}">
      <text>
        <t>[Threaded comment]
Your version of Excel allows you to read this threaded comment; however, any edits to it will get removed if the file is opened in a newer version of Excel. Learn more: https://go.microsoft.com/fwlink/?linkid=870924
Comment:
    https://www.nature.com/articles/s41598-022-25341-9</t>
      </text>
    </comment>
    <comment ref="I2" authorId="2" shapeId="0" xr:uid="{2680D73E-6FC3-464D-826F-DF82493575ED}">
      <text>
        <t>[Threaded comment]
Your version of Excel allows you to read this threaded comment; however, any edits to it will get removed if the file is opened in a newer version of Excel. Learn more: https://go.microsoft.com/fwlink/?linkid=870924
Comment:
    https://ntnuopen.ntnu.no/ntnu-xmlui/bitstream/handle/11250/3129881/FINAL_VERSION-3.pdf?sequence=1&amp;isAllowed=y</t>
      </text>
    </comment>
    <comment ref="A11" authorId="3" shapeId="0" xr:uid="{98BE8B92-AF24-45DD-BAA5-AC8BE426E834}">
      <text>
        <t>[Threaded comment]
Your version of Excel allows you to read this threaded comment; however, any edits to it will get removed if the file is opened in a newer version of Excel. Learn more: https://go.microsoft.com/fwlink/?linkid=870924
Comment:
    With CCS, efficiency will drop from 59% to 51-54% https://www.carboncapturejournal.com/news/power-from-gas--ccs-at-54-efficiency/3350.aspx</t>
      </text>
    </comment>
    <comment ref="C34" authorId="4" shapeId="0" xr:uid="{F8B5BA61-BF3C-4D19-94A3-B7A582501550}">
      <text>
        <t xml:space="preserve">[Threaded comment]
Your version of Excel allows you to read this threaded comment; however, any edits to it will get removed if the file is opened in a newer version of Excel. Learn more: https://go.microsoft.com/fwlink/?linkid=870924
Comment:
    https://www.sciencedirect.com/science/article/pii/S0960148125011760#fig1
Reply:
    However, our analysis of hydropower shows a divergence, attributed to the inclusion of small-scale and run-of-river power plants, which Noland et al. (2022)'s study omitted. This inclusion has elevated our measured production density for hydropower compared to their findings (Table 3). Additionally, our results indicate a higher production density for onshore wind than reported by Noland et al. (2022), yet the ranking remains unchanged. This discrepancy is likely due to our research being confined to Norway, as opposed to Noland et al.'s global analysis which used a different approach for mapping out the commissioned land containing the wind parks. </t>
      </text>
    </comment>
  </commentList>
</comments>
</file>

<file path=xl/sharedStrings.xml><?xml version="1.0" encoding="utf-8"?>
<sst xmlns="http://schemas.openxmlformats.org/spreadsheetml/2006/main" count="119" uniqueCount="90">
  <si>
    <t>Norway Specific (Kenawi et al, 2025)</t>
  </si>
  <si>
    <t>Global (Nøland, 2022)</t>
  </si>
  <si>
    <t>Global (Smil, 2016)</t>
  </si>
  <si>
    <t>Global (van Zalk and Behrens, 2016)</t>
  </si>
  <si>
    <t>Global UNECE (2022) and OWID (2022)</t>
  </si>
  <si>
    <t>Nøland</t>
  </si>
  <si>
    <t>Technology</t>
  </si>
  <si>
    <r>
      <t>Production Density, GWh/km</t>
    </r>
    <r>
      <rPr>
        <vertAlign val="superscript"/>
        <sz val="11"/>
        <color theme="1"/>
        <rFont val="Aptos Narrow"/>
        <family val="2"/>
        <scheme val="minor"/>
      </rPr>
      <t>2</t>
    </r>
  </si>
  <si>
    <r>
      <t>Power Density, W/m</t>
    </r>
    <r>
      <rPr>
        <vertAlign val="superscript"/>
        <sz val="11"/>
        <color theme="1"/>
        <rFont val="Aptos Narrow"/>
        <family val="2"/>
        <scheme val="minor"/>
      </rPr>
      <t>2</t>
    </r>
  </si>
  <si>
    <t>Hyrdopower aggregated</t>
  </si>
  <si>
    <r>
      <rPr>
        <sz val="11"/>
        <color rgb="FF000000"/>
        <rFont val="Aptos Narrow"/>
        <scheme val="minor"/>
      </rPr>
      <t xml:space="preserve">400 </t>
    </r>
    <r>
      <rPr>
        <sz val="11"/>
        <color rgb="FF000000"/>
        <rFont val="Aptos Narrow"/>
      </rPr>
      <t>± 731</t>
    </r>
  </si>
  <si>
    <r>
      <t xml:space="preserve">296 </t>
    </r>
    <r>
      <rPr>
        <sz val="11"/>
        <color theme="1"/>
        <rFont val="Aptos Narrow"/>
        <family val="2"/>
      </rPr>
      <t>± 1379</t>
    </r>
  </si>
  <si>
    <t>33.73 ± 157.28</t>
  </si>
  <si>
    <t>1 - 4383</t>
  </si>
  <si>
    <t xml:space="preserve">   Storage (Reservoir)</t>
  </si>
  <si>
    <t>≥ 10 MW</t>
  </si>
  <si>
    <t xml:space="preserve">   Run-of-river hydropower</t>
  </si>
  <si>
    <t xml:space="preserve">   Small-scale hydropower</t>
  </si>
  <si>
    <r>
      <t>1</t>
    </r>
    <r>
      <rPr>
        <sz val="11"/>
        <color theme="1"/>
        <rFont val="Aptos Narrow"/>
        <family val="2"/>
      </rPr>
      <t>≤</t>
    </r>
    <r>
      <rPr>
        <sz val="11"/>
        <color theme="1"/>
        <rFont val="Aptos Narrow"/>
        <family val="2"/>
        <scheme val="minor"/>
      </rPr>
      <t>10 MW</t>
    </r>
  </si>
  <si>
    <t xml:space="preserve">   Mini-scale hydropower</t>
  </si>
  <si>
    <r>
      <t>0.1</t>
    </r>
    <r>
      <rPr>
        <sz val="11"/>
        <color theme="1"/>
        <rFont val="Aptos Narrow"/>
        <family val="2"/>
      </rPr>
      <t>≤</t>
    </r>
    <r>
      <rPr>
        <sz val="11"/>
        <color theme="1"/>
        <rFont val="Aptos Narrow"/>
        <family val="2"/>
        <scheme val="minor"/>
      </rPr>
      <t>1</t>
    </r>
  </si>
  <si>
    <t>Wind (onshore)</t>
  </si>
  <si>
    <r>
      <t xml:space="preserve">55.8 </t>
    </r>
    <r>
      <rPr>
        <sz val="11"/>
        <color theme="1"/>
        <rFont val="Aptos Narrow"/>
        <family val="2"/>
      </rPr>
      <t>± 64</t>
    </r>
  </si>
  <si>
    <r>
      <t xml:space="preserve">19 </t>
    </r>
    <r>
      <rPr>
        <sz val="11"/>
        <color theme="1"/>
        <rFont val="Aptos Narrow"/>
        <family val="2"/>
      </rPr>
      <t>± 18</t>
    </r>
  </si>
  <si>
    <t>3.89 ± 1.61</t>
  </si>
  <si>
    <t>Solar PV</t>
  </si>
  <si>
    <r>
      <t>80.1</t>
    </r>
    <r>
      <rPr>
        <sz val="11"/>
        <color theme="1"/>
        <rFont val="Aptos Narrow"/>
        <family val="2"/>
      </rPr>
      <t>±31</t>
    </r>
  </si>
  <si>
    <t>87 ± 29</t>
  </si>
  <si>
    <t>9.91 ± 3.28</t>
  </si>
  <si>
    <t>35 - 79</t>
  </si>
  <si>
    <t>Nuclear</t>
  </si>
  <si>
    <r>
      <t xml:space="preserve">6703 </t>
    </r>
    <r>
      <rPr>
        <sz val="11"/>
        <color theme="1"/>
        <rFont val="Aptos Narrow"/>
        <family val="2"/>
      </rPr>
      <t>± 4819</t>
    </r>
  </si>
  <si>
    <t>764.69 ± 549.69</t>
  </si>
  <si>
    <t>7012 - 21038</t>
  </si>
  <si>
    <t>Natural gas</t>
  </si>
  <si>
    <t>3280 ± 2168</t>
  </si>
  <si>
    <t>374.14 ± 247.38</t>
  </si>
  <si>
    <t>1753 - 17532</t>
  </si>
  <si>
    <t>Solar (CSP)</t>
  </si>
  <si>
    <t>178 ± 112</t>
  </si>
  <si>
    <t>20.33 ± 12.74</t>
  </si>
  <si>
    <t>35 - 88</t>
  </si>
  <si>
    <t>Geothermal</t>
  </si>
  <si>
    <t>43 ± 30</t>
  </si>
  <si>
    <t>4.88 ± 3.39</t>
  </si>
  <si>
    <t>≤ 280</t>
  </si>
  <si>
    <t>Wind (offshore)</t>
  </si>
  <si>
    <t>34 ± 14</t>
  </si>
  <si>
    <t>Wave</t>
  </si>
  <si>
    <t>70 ± 24</t>
  </si>
  <si>
    <t>7.94 ± 2.77</t>
  </si>
  <si>
    <t>Biomass</t>
  </si>
  <si>
    <t>1 ± 0</t>
  </si>
  <si>
    <t>0.13 ± 0.02</t>
  </si>
  <si>
    <t>SMR</t>
  </si>
  <si>
    <t>13000 - 36000</t>
  </si>
  <si>
    <t>*check magnitude</t>
  </si>
  <si>
    <t>Sources:</t>
  </si>
  <si>
    <t>https://www.sciencedirect.com/science/article/pii/S0960148125011760#fig1</t>
  </si>
  <si>
    <t>https://www.nature.com/articles/s41598-022-25341-9</t>
  </si>
  <si>
    <t>Smil, V. Power Density: A key to understanding energy sources and uses (MIT press, 2016).</t>
  </si>
  <si>
    <t>https://www.sciencedirect.com/science/article/pii/S0301421518305512</t>
  </si>
  <si>
    <t>https://unece.org/sites/default/files/2022-04/LCA_3_FINAL%20March%202022.pdf</t>
  </si>
  <si>
    <t>https://ourworldindata.org/land-use-per-energy-source</t>
  </si>
  <si>
    <t>https://ntnuopen.ntnu.no/ntnu-xmlui/bitstream/handle/11250/3129881/FINAL_VERSION-3.pdf?sequence=1&amp;isAllowed=y</t>
  </si>
  <si>
    <t>Norway specific</t>
  </si>
  <si>
    <t>Technology*</t>
  </si>
  <si>
    <t>m2/MWh</t>
  </si>
  <si>
    <t>MWh/m2</t>
  </si>
  <si>
    <t>Wind (onshore) [total land]</t>
  </si>
  <si>
    <t>direct occupation of total commissioned land</t>
  </si>
  <si>
    <t>Nuclear**</t>
  </si>
  <si>
    <t>Offshore wind**</t>
  </si>
  <si>
    <t>* Norway specific, Kenwai et al.</t>
  </si>
  <si>
    <t>**Nøland</t>
  </si>
  <si>
    <t>Bornholm</t>
  </si>
  <si>
    <t>Elforbrug</t>
  </si>
  <si>
    <t>TJ/år</t>
  </si>
  <si>
    <t>GWh/år</t>
  </si>
  <si>
    <t>Arealforbrug til elproduktion</t>
  </si>
  <si>
    <t>Landvind</t>
  </si>
  <si>
    <t>km2/GWh</t>
  </si>
  <si>
    <t>km2</t>
  </si>
  <si>
    <t>MW</t>
  </si>
  <si>
    <t>Havvind</t>
  </si>
  <si>
    <t>Solceller</t>
  </si>
  <si>
    <t>Halm</t>
  </si>
  <si>
    <t>Træ</t>
  </si>
  <si>
    <t>Energiø havvind</t>
  </si>
  <si>
    <t>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</si>
</sst>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font>
      <sz val="11"/>
      <color theme="1"/>
      <name val="Aptos Narrow"/>
      <family val="2"/>
      <scheme val="minor"/>
    </font>
    <font>
      <b/>
      <sz val="11"/>
      <color theme="1"/>
      <name val="Aptos Narrow"/>
      <family val="2"/>
      <scheme val="minor"/>
    </font>
    <font>
      <sz val="11"/>
      <color theme="1"/>
      <name val="Aptos Narrow"/>
      <family val="2"/>
    </font>
    <font>
      <vertAlign val="superscript"/>
      <sz val="11"/>
      <color theme="1"/>
      <name val="Aptos Narrow"/>
      <family val="2"/>
      <scheme val="minor"/>
    </font>
    <font>
      <i/>
      <sz val="11"/>
      <color theme="1"/>
      <name val="Aptos Narrow"/>
      <family val="2"/>
      <scheme val="minor"/>
    </font>
    <font>
      <u/>
      <sz val="11"/>
      <color theme="10"/>
      <name val="Aptos Narrow"/>
      <family val="2"/>
      <scheme val="minor"/>
    </font>
    <font>
      <sz val="11"/>
      <color rgb="FF000000"/>
      <name val="Aptos Narrow"/>
      <scheme val="minor"/>
    </font>
    <font>
      <sz val="11"/>
      <color rgb="FF000000"/>
      <name val="Aptos Narrow"/>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0" fillId="0" borderId="0" xfId="0" applyAlignment="1">
      <alignment horizontal="center" vertical="center"/>
    </xf>
    <xf numFmtId="0" fontId="1" fillId="0" borderId="0" xfId="0" applyFont="1"/>
    <xf numFmtId="0" fontId="2" fillId="0" borderId="0" xfId="0" applyFont="1" applyAlignment="1">
      <alignment horizontal="center" vertical="center"/>
    </xf>
    <xf numFmtId="2" fontId="0" fillId="0" borderId="0" xfId="0" applyNumberFormat="1" applyAlignment="1">
      <alignment horizontal="center" vertical="center"/>
    </xf>
    <xf numFmtId="2" fontId="0" fillId="0" borderId="0" xfId="0" applyNumberFormat="1"/>
    <xf numFmtId="2" fontId="2" fillId="0" borderId="0" xfId="0" applyNumberFormat="1" applyFont="1" applyAlignment="1">
      <alignment horizontal="center" vertical="center"/>
    </xf>
    <xf numFmtId="2" fontId="0" fillId="0" borderId="0" xfId="0" quotePrefix="1" applyNumberFormat="1" applyAlignment="1">
      <alignment horizontal="center" vertical="center"/>
    </xf>
    <xf numFmtId="0" fontId="4" fillId="0" borderId="0" xfId="0" applyFont="1"/>
    <xf numFmtId="0" fontId="1" fillId="0" borderId="0" xfId="0" applyFont="1" applyAlignment="1">
      <alignment horizontal="center" vertical="center"/>
    </xf>
    <xf numFmtId="2" fontId="7" fillId="0" borderId="0" xfId="0" applyNumberFormat="1" applyFont="1" applyAlignment="1">
      <alignment horizontal="center" vertical="center"/>
    </xf>
    <xf numFmtId="0" fontId="5" fillId="0" borderId="0" xfId="1"/>
    <xf numFmtId="164" fontId="0" fillId="0" borderId="0" xfId="0" applyNumberFormat="1"/>
    <xf numFmtId="0" fontId="1" fillId="2" borderId="0" xfId="0" applyFont="1" applyFill="1" applyAlignment="1">
      <alignment horizontal="center" vertical="center" wrapText="1"/>
    </xf>
    <xf numFmtId="0" fontId="8" fillId="0" borderId="0" xfId="0" applyFont="1"/>
    <xf numFmtId="0" fontId="0" fillId="0" borderId="1" xfId="0" applyBorder="1"/>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xf numFmtId="0" fontId="4" fillId="0" borderId="6" xfId="0" applyFont="1" applyBorder="1" applyAlignment="1">
      <alignment horizontal="right" wrapText="1"/>
    </xf>
    <xf numFmtId="2" fontId="0" fillId="0" borderId="7" xfId="0" applyNumberFormat="1" applyBorder="1"/>
    <xf numFmtId="164" fontId="0" fillId="0" borderId="1" xfId="0" applyNumberFormat="1" applyBorder="1"/>
    <xf numFmtId="0" fontId="0" fillId="0" borderId="8" xfId="0" applyBorder="1"/>
    <xf numFmtId="0" fontId="0" fillId="0" borderId="8" xfId="0" applyBorder="1" applyAlignment="1">
      <alignment horizontal="center" vertical="center"/>
    </xf>
    <xf numFmtId="2" fontId="0" fillId="0" borderId="8" xfId="0" applyNumberFormat="1" applyBorder="1" applyAlignment="1">
      <alignment horizontal="center" vertical="center"/>
    </xf>
    <xf numFmtId="2" fontId="0" fillId="0" borderId="8" xfId="0" applyNumberFormat="1" applyBorder="1"/>
    <xf numFmtId="0" fontId="0" fillId="0" borderId="9" xfId="0" applyBorder="1"/>
    <xf numFmtId="2" fontId="0" fillId="0" borderId="10" xfId="0" applyNumberFormat="1" applyBorder="1"/>
    <xf numFmtId="0" fontId="4" fillId="0" borderId="4" xfId="0" applyFont="1" applyBorder="1"/>
    <xf numFmtId="0" fontId="4" fillId="0" borderId="9" xfId="0" applyFont="1" applyBorder="1"/>
    <xf numFmtId="0" fontId="4" fillId="0" borderId="6" xfId="0" applyFont="1" applyBorder="1"/>
    <xf numFmtId="9" fontId="4" fillId="0" borderId="3" xfId="0" applyNumberFormat="1" applyFont="1" applyBorder="1" applyAlignment="1">
      <alignment horizontal="center" vertical="center"/>
    </xf>
    <xf numFmtId="2" fontId="0" fillId="0" borderId="10" xfId="0" applyNumberFormat="1" applyBorder="1" applyAlignment="1">
      <alignment horizontal="center" vertical="center"/>
    </xf>
    <xf numFmtId="2" fontId="0" fillId="0" borderId="7" xfId="0" applyNumberForma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1" fontId="0" fillId="0" borderId="0" xfId="0" applyNumberFormat="1"/>
    <xf numFmtId="1" fontId="0" fillId="2" borderId="0" xfId="0" applyNumberFormat="1" applyFill="1"/>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hor Alexis Salazar Sazon" id="{1656AC41-7628-42D3-B600-BEA14C98DD19}" userId="S::thor.sazon@ife.no::a80e9ab8-178c-4617-a116-a11882cad2f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5-07-10T11:04:54.98" personId="{1656AC41-7628-42D3-B600-BEA14C98DD19}" id="{C06D2043-480C-4E9E-ACB9-6E3FFA9CE226}">
    <text>https://www.sciencedirect.com/science/article/pii/S0960148125011760#fig1</text>
    <extLst>
      <x:ext xmlns:xltc2="http://schemas.microsoft.com/office/spreadsheetml/2020/threadedcomments2" uri="{F7C98A9C-CBB3-438F-8F68-D28B6AF4A901}">
        <xltc2:checksum>3628499324</xltc2:checksum>
        <xltc2:hyperlink startIndex="0" length="72" url="https://www.sciencedirect.com/science/article/pii/S0960148125011760#fig1"/>
      </x:ext>
    </extLst>
  </threadedComment>
  <threadedComment ref="C2" dT="2025-07-10T11:06:17.38" personId="{1656AC41-7628-42D3-B600-BEA14C98DD19}" id="{3F6EB6E5-DA2D-4175-8BFA-24B96B3324F2}" parentId="{C06D2043-480C-4E9E-ACB9-6E3FFA9CE226}">
    <text xml:space="preserve">However, our analysis of hydropower shows a divergence, attributed to the inclusion of small-scale and run-of-river power plants, which Noland et al. (2022)'s study omitted. This inclusion has elevated our measured production density for hydropower compared to their findings (Table 3). Additionally, our results indicate a higher production density for onshore wind than reported by Noland et al. (2022), yet the ranking remains unchanged. This discrepancy is likely due to our research being confined to Norway, as opposed to Noland et al.'s global analysis which used a different approach for mapping out the commissioned land containing the wind parks. </text>
    <extLst>
      <x:ext xmlns:xltc2="http://schemas.microsoft.com/office/spreadsheetml/2020/threadedcomments2" uri="{F7C98A9C-CBB3-438F-8F68-D28B6AF4A901}">
        <xltc2:checksum>1859746000</xltc2:checksum>
        <xltc2:hyperlink startIndex="277" length="7" url="https://www.sciencedirect.com/science/article/pii/S0960148125011760#tbl3"/>
      </x:ext>
    </extLst>
  </threadedComment>
  <threadedComment ref="D2" dT="2025-07-10T11:10:18.53" personId="{1656AC41-7628-42D3-B600-BEA14C98DD19}" id="{3443BC80-6BD6-4838-BA9E-EFE1C38E5D55}">
    <text>https://www.nature.com/articles/s41598-022-25341-9</text>
    <extLst>
      <x:ext xmlns:xltc2="http://schemas.microsoft.com/office/spreadsheetml/2020/threadedcomments2" uri="{F7C98A9C-CBB3-438F-8F68-D28B6AF4A901}">
        <xltc2:checksum>4018386798</xltc2:checksum>
        <xltc2:hyperlink startIndex="0" length="50" url="https://www.nature.com/articles/s41598-022-25341-9"/>
      </x:ext>
    </extLst>
  </threadedComment>
  <threadedComment ref="I2" dT="2025-07-10T11:58:28.50" personId="{1656AC41-7628-42D3-B600-BEA14C98DD19}" id="{2680D73E-6FC3-464D-826F-DF82493575ED}">
    <text>https://ntnuopen.ntnu.no/ntnu-xmlui/bitstream/handle/11250/3129881/FINAL_VERSION-3.pdf?sequence=1&amp;isAllowed=y</text>
    <extLst>
      <x:ext xmlns:xltc2="http://schemas.microsoft.com/office/spreadsheetml/2020/threadedcomments2" uri="{F7C98A9C-CBB3-438F-8F68-D28B6AF4A901}">
        <xltc2:checksum>499114562</xltc2:checksum>
        <xltc2:hyperlink startIndex="0" length="109" url="https://ntnuopen.ntnu.no/ntnu-xmlui/bitstream/handle/11250/3129881/FINAL_VERSION-3.pdf?sequence=1&amp;isAllowed=y"/>
      </x:ext>
    </extLst>
  </threadedComment>
  <threadedComment ref="A11" dT="2025-07-10T11:49:38.15" personId="{1656AC41-7628-42D3-B600-BEA14C98DD19}" id="{98BE8B92-AF24-45DD-BAA5-AC8BE426E834}">
    <text>With CCS, efficiency will drop from 59% to 51-54% https://www.carboncapturejournal.com/news/power-from-gas--ccs-at-54-efficiency/3350.aspx</text>
    <extLst>
      <x:ext xmlns:xltc2="http://schemas.microsoft.com/office/spreadsheetml/2020/threadedcomments2" uri="{F7C98A9C-CBB3-438F-8F68-D28B6AF4A901}">
        <xltc2:checksum>2858925029</xltc2:checksum>
        <xltc2:hyperlink startIndex="50" length="88" url="https://www.carboncapturejournal.com/news/power-from-gas--ccs-at-54-efficiency/3350.aspx"/>
      </x:ext>
    </extLst>
  </threadedComment>
  <threadedComment ref="C34" dT="2025-07-10T11:04:54.98" personId="{1656AC41-7628-42D3-B600-BEA14C98DD19}" id="{F8B5BA61-BF3C-4D19-94A3-B7A582501550}">
    <text>https://www.sciencedirect.com/science/article/pii/S0960148125011760#fig1</text>
    <extLst>
      <x:ext xmlns:xltc2="http://schemas.microsoft.com/office/spreadsheetml/2020/threadedcomments2" uri="{F7C98A9C-CBB3-438F-8F68-D28B6AF4A901}">
        <xltc2:checksum>3628499324</xltc2:checksum>
        <xltc2:hyperlink startIndex="0" length="72" url="https://www.sciencedirect.com/science/article/pii/S0960148125011760#fig1"/>
      </x:ext>
    </extLst>
  </threadedComment>
  <threadedComment ref="C34" dT="2025-07-10T11:06:17.38" personId="{1656AC41-7628-42D3-B600-BEA14C98DD19}" id="{C4A85071-818E-41DA-91FF-FBEF569A6279}" parentId="{F8B5BA61-BF3C-4D19-94A3-B7A582501550}">
    <text xml:space="preserve">However, our analysis of hydropower shows a divergence, attributed to the inclusion of small-scale and run-of-river power plants, which Noland et al. (2022)'s study omitted. This inclusion has elevated our measured production density for hydropower compared to their findings (Table 3). Additionally, our results indicate a higher production density for onshore wind than reported by Noland et al. (2022), yet the ranking remains unchanged. This discrepancy is likely due to our research being confined to Norway, as opposed to Noland et al.'s global analysis which used a different approach for mapping out the commissioned land containing the wind parks. </text>
    <extLst>
      <x:ext xmlns:xltc2="http://schemas.microsoft.com/office/spreadsheetml/2020/threadedcomments2" uri="{F7C98A9C-CBB3-438F-8F68-D28B6AF4A901}">
        <xltc2:checksum>1859746000</xltc2:checksum>
        <xltc2:hyperlink startIndex="277" length="7" url="https://www.sciencedirect.com/science/article/pii/S0960148125011760#tbl3"/>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ourworldindata.org/land-use-per-energy-source"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FB6E-6EF2-4794-88CF-2D4109EE32CE}">
  <dimension ref="A1:M62"/>
  <sheetViews>
    <sheetView tabSelected="1" topLeftCell="A44" workbookViewId="0">
      <selection activeCell="D63" sqref="D63"/>
    </sheetView>
  </sheetViews>
  <sheetFormatPr defaultRowHeight="14.45"/>
  <cols>
    <col min="1" max="1" width="29.7109375" customWidth="1"/>
    <col min="2" max="2" width="10.140625" bestFit="1" customWidth="1"/>
    <col min="3" max="3" width="29.85546875" customWidth="1"/>
    <col min="4" max="4" width="25" bestFit="1" customWidth="1"/>
    <col min="5" max="5" width="25" customWidth="1"/>
    <col min="6" max="6" width="25" bestFit="1" customWidth="1"/>
    <col min="7" max="7" width="30.85546875" bestFit="1" customWidth="1"/>
    <col min="8" max="8" width="33.140625" bestFit="1" customWidth="1"/>
    <col min="9" max="9" width="18" bestFit="1" customWidth="1"/>
  </cols>
  <sheetData>
    <row r="1" spans="1:13" ht="29.25">
      <c r="C1" s="13" t="s">
        <v>0</v>
      </c>
      <c r="D1" s="40" t="s">
        <v>1</v>
      </c>
      <c r="E1" s="40"/>
      <c r="F1" s="9" t="s">
        <v>2</v>
      </c>
      <c r="G1" s="9" t="s">
        <v>3</v>
      </c>
      <c r="H1" s="9" t="s">
        <v>4</v>
      </c>
      <c r="I1" s="9" t="s">
        <v>5</v>
      </c>
    </row>
    <row r="2" spans="1:13" ht="16.149999999999999">
      <c r="A2" s="2" t="s">
        <v>6</v>
      </c>
      <c r="B2" s="1"/>
      <c r="C2" s="1" t="s">
        <v>7</v>
      </c>
      <c r="D2" s="1" t="s">
        <v>7</v>
      </c>
      <c r="E2" s="1" t="s">
        <v>8</v>
      </c>
      <c r="F2" s="1" t="s">
        <v>7</v>
      </c>
      <c r="G2" s="1" t="s">
        <v>7</v>
      </c>
      <c r="H2" s="1" t="s">
        <v>7</v>
      </c>
      <c r="I2" s="1" t="s">
        <v>8</v>
      </c>
    </row>
    <row r="3" spans="1:13" ht="15">
      <c r="A3" t="s">
        <v>9</v>
      </c>
      <c r="B3" s="1"/>
      <c r="C3" s="10" t="s">
        <v>10</v>
      </c>
      <c r="D3" s="4" t="s">
        <v>11</v>
      </c>
      <c r="E3" s="4" t="s">
        <v>12</v>
      </c>
      <c r="F3" s="7" t="s">
        <v>13</v>
      </c>
      <c r="G3" s="4">
        <v>3</v>
      </c>
      <c r="H3" s="4">
        <v>71</v>
      </c>
      <c r="I3" s="4"/>
      <c r="J3" s="4"/>
      <c r="K3" s="4"/>
      <c r="L3" s="4"/>
      <c r="M3" s="5"/>
    </row>
    <row r="4" spans="1:13">
      <c r="A4" s="8" t="s">
        <v>14</v>
      </c>
      <c r="B4" s="3" t="s">
        <v>15</v>
      </c>
      <c r="C4" s="4">
        <v>175</v>
      </c>
      <c r="D4" s="4"/>
      <c r="E4" s="4"/>
      <c r="F4" s="4"/>
      <c r="G4" s="4"/>
      <c r="H4" s="4"/>
      <c r="I4" s="4"/>
      <c r="J4" s="4"/>
      <c r="K4" s="4"/>
      <c r="L4" s="4"/>
      <c r="M4" s="5"/>
    </row>
    <row r="5" spans="1:13">
      <c r="A5" s="8" t="s">
        <v>16</v>
      </c>
      <c r="B5" s="3" t="s">
        <v>15</v>
      </c>
      <c r="C5" s="4">
        <v>1264.7</v>
      </c>
      <c r="D5" s="4"/>
      <c r="E5" s="4"/>
      <c r="F5" s="4"/>
      <c r="G5" s="4"/>
      <c r="H5" s="4"/>
      <c r="I5" s="4"/>
      <c r="J5" s="4"/>
      <c r="K5" s="4"/>
      <c r="L5" s="4"/>
      <c r="M5" s="5"/>
    </row>
    <row r="6" spans="1:13">
      <c r="A6" s="8" t="s">
        <v>17</v>
      </c>
      <c r="B6" s="1" t="s">
        <v>18</v>
      </c>
      <c r="C6" s="4">
        <v>396.3</v>
      </c>
      <c r="D6" s="4"/>
      <c r="E6" s="4"/>
      <c r="F6" s="4"/>
      <c r="G6" s="4"/>
      <c r="H6" s="4"/>
      <c r="I6" s="4"/>
      <c r="J6" s="4"/>
      <c r="K6" s="4"/>
      <c r="L6" s="4"/>
      <c r="M6" s="5"/>
    </row>
    <row r="7" spans="1:13">
      <c r="A7" s="8" t="s">
        <v>19</v>
      </c>
      <c r="B7" s="1" t="s">
        <v>20</v>
      </c>
      <c r="C7" s="4">
        <v>350.4</v>
      </c>
      <c r="D7" s="4"/>
      <c r="E7" s="4"/>
      <c r="F7" s="4"/>
      <c r="G7" s="4"/>
      <c r="H7" s="4"/>
      <c r="I7" s="4"/>
      <c r="J7" s="4"/>
      <c r="K7" s="4"/>
      <c r="L7" s="4"/>
      <c r="M7" s="5"/>
    </row>
    <row r="8" spans="1:13">
      <c r="A8" t="s">
        <v>21</v>
      </c>
      <c r="B8" s="1"/>
      <c r="C8" s="4" t="s">
        <v>22</v>
      </c>
      <c r="D8" s="4" t="s">
        <v>23</v>
      </c>
      <c r="E8" s="4" t="s">
        <v>24</v>
      </c>
      <c r="F8" s="4">
        <v>45760</v>
      </c>
      <c r="G8" s="4">
        <v>27</v>
      </c>
      <c r="H8" s="4">
        <v>10</v>
      </c>
      <c r="I8" s="4"/>
      <c r="J8" s="4"/>
      <c r="K8" s="4"/>
      <c r="L8" s="4"/>
      <c r="M8" s="5"/>
    </row>
    <row r="9" spans="1:13">
      <c r="A9" t="s">
        <v>25</v>
      </c>
      <c r="B9" s="1"/>
      <c r="C9" s="4" t="s">
        <v>26</v>
      </c>
      <c r="D9" s="6" t="s">
        <v>27</v>
      </c>
      <c r="E9" s="6" t="s">
        <v>28</v>
      </c>
      <c r="F9" s="4" t="s">
        <v>29</v>
      </c>
      <c r="G9" s="4">
        <v>51</v>
      </c>
      <c r="H9" s="4">
        <v>63</v>
      </c>
      <c r="I9" s="4"/>
      <c r="J9" s="4"/>
      <c r="K9" s="4"/>
      <c r="L9" s="4"/>
      <c r="M9" s="5"/>
    </row>
    <row r="10" spans="1:13">
      <c r="A10" t="s">
        <v>30</v>
      </c>
      <c r="B10" s="1"/>
      <c r="C10" s="4"/>
      <c r="D10" s="4" t="s">
        <v>31</v>
      </c>
      <c r="E10" s="4" t="s">
        <v>32</v>
      </c>
      <c r="F10" s="4" t="s">
        <v>33</v>
      </c>
      <c r="G10" s="4">
        <v>2532</v>
      </c>
      <c r="H10" s="4">
        <v>3333</v>
      </c>
      <c r="I10" s="4"/>
      <c r="J10" s="4"/>
      <c r="K10" s="4"/>
      <c r="L10" s="4"/>
      <c r="M10" s="5"/>
    </row>
    <row r="11" spans="1:13">
      <c r="A11" t="s">
        <v>34</v>
      </c>
      <c r="B11" s="1"/>
      <c r="C11" s="4"/>
      <c r="D11" s="4" t="s">
        <v>35</v>
      </c>
      <c r="E11" s="4" t="s">
        <v>36</v>
      </c>
      <c r="F11" s="4" t="s">
        <v>37</v>
      </c>
      <c r="G11" s="4">
        <v>11254</v>
      </c>
      <c r="H11" s="4">
        <v>1000</v>
      </c>
      <c r="I11" s="4"/>
      <c r="J11" s="4"/>
      <c r="K11" s="4"/>
      <c r="L11" s="4"/>
      <c r="M11" s="5"/>
    </row>
    <row r="12" spans="1:13">
      <c r="A12" t="s">
        <v>38</v>
      </c>
      <c r="B12" s="1"/>
      <c r="C12" s="4"/>
      <c r="D12" s="4" t="s">
        <v>39</v>
      </c>
      <c r="E12" s="4" t="s">
        <v>40</v>
      </c>
      <c r="F12" s="4" t="s">
        <v>41</v>
      </c>
      <c r="G12" s="4">
        <v>85</v>
      </c>
      <c r="H12" s="4">
        <v>45</v>
      </c>
      <c r="I12" s="4"/>
      <c r="J12" s="4"/>
      <c r="K12" s="4"/>
      <c r="L12" s="4"/>
      <c r="M12" s="5"/>
    </row>
    <row r="13" spans="1:13">
      <c r="A13" t="s">
        <v>42</v>
      </c>
      <c r="B13" s="1"/>
      <c r="C13" s="4"/>
      <c r="D13" s="4" t="s">
        <v>43</v>
      </c>
      <c r="E13" s="4" t="s">
        <v>44</v>
      </c>
      <c r="F13" s="6" t="s">
        <v>45</v>
      </c>
      <c r="G13" s="4">
        <v>27</v>
      </c>
      <c r="H13" s="4"/>
      <c r="I13" s="4"/>
      <c r="J13" s="4"/>
      <c r="K13" s="4"/>
      <c r="L13" s="4"/>
      <c r="M13" s="5"/>
    </row>
    <row r="14" spans="1:13">
      <c r="A14" t="s">
        <v>46</v>
      </c>
      <c r="B14" s="1"/>
      <c r="C14" s="4"/>
      <c r="D14" s="4" t="s">
        <v>47</v>
      </c>
      <c r="E14" s="4" t="s">
        <v>24</v>
      </c>
      <c r="F14" s="4"/>
      <c r="G14" s="4">
        <v>37</v>
      </c>
      <c r="H14" s="4"/>
      <c r="I14" s="4"/>
      <c r="J14" s="4"/>
      <c r="K14" s="4"/>
      <c r="L14" s="4"/>
      <c r="M14" s="5"/>
    </row>
    <row r="15" spans="1:13">
      <c r="A15" t="s">
        <v>48</v>
      </c>
      <c r="B15" s="1"/>
      <c r="C15" s="4"/>
      <c r="D15" s="4" t="s">
        <v>49</v>
      </c>
      <c r="E15" s="4" t="s">
        <v>50</v>
      </c>
      <c r="F15" s="4"/>
      <c r="G15" s="4"/>
      <c r="H15" s="4"/>
      <c r="I15" s="4"/>
      <c r="J15" s="4"/>
      <c r="K15" s="4"/>
      <c r="L15" s="4"/>
      <c r="M15" s="5"/>
    </row>
    <row r="16" spans="1:13">
      <c r="A16" t="s">
        <v>51</v>
      </c>
      <c r="B16" s="1"/>
      <c r="C16" s="4"/>
      <c r="D16" s="4" t="s">
        <v>52</v>
      </c>
      <c r="E16" s="4" t="s">
        <v>53</v>
      </c>
      <c r="F16" s="4"/>
      <c r="G16" s="4"/>
      <c r="H16" s="4"/>
      <c r="I16" s="4"/>
      <c r="J16" s="4"/>
      <c r="K16" s="4"/>
      <c r="L16" s="4"/>
      <c r="M16" s="5"/>
    </row>
    <row r="17" spans="1:13">
      <c r="A17" t="s">
        <v>54</v>
      </c>
      <c r="B17" s="1"/>
      <c r="C17" s="4"/>
      <c r="D17" s="4"/>
      <c r="E17" s="4"/>
      <c r="F17" s="4"/>
      <c r="G17" s="4"/>
      <c r="H17" s="4"/>
      <c r="I17" s="4" t="s">
        <v>55</v>
      </c>
      <c r="J17" s="4"/>
      <c r="K17" s="4"/>
      <c r="L17" s="4"/>
      <c r="M17" s="5"/>
    </row>
    <row r="18" spans="1:13">
      <c r="C18" s="4"/>
      <c r="D18" s="4"/>
      <c r="E18" s="4"/>
      <c r="F18" s="4"/>
      <c r="G18" s="4"/>
      <c r="H18" s="4"/>
      <c r="I18" s="4"/>
      <c r="J18" s="4"/>
      <c r="K18" s="4"/>
      <c r="L18" s="4"/>
      <c r="M18" s="5"/>
    </row>
    <row r="19" spans="1:13">
      <c r="C19" s="4"/>
      <c r="D19" s="4"/>
      <c r="E19" s="4"/>
      <c r="F19" s="4" t="s">
        <v>56</v>
      </c>
      <c r="G19" s="4"/>
      <c r="H19" s="4"/>
      <c r="I19" s="4"/>
      <c r="J19" s="4"/>
      <c r="K19" s="4"/>
      <c r="L19" s="4"/>
      <c r="M19" s="5"/>
    </row>
    <row r="20" spans="1:13">
      <c r="A20" t="s">
        <v>57</v>
      </c>
      <c r="C20" s="4"/>
      <c r="D20" s="4"/>
      <c r="E20" s="4"/>
      <c r="F20" s="4"/>
      <c r="G20" s="4"/>
      <c r="H20" s="4"/>
      <c r="I20" s="4"/>
      <c r="J20" s="4"/>
      <c r="K20" s="4"/>
      <c r="L20" s="4"/>
      <c r="M20" s="5"/>
    </row>
    <row r="21" spans="1:13">
      <c r="A21" t="s">
        <v>58</v>
      </c>
    </row>
    <row r="22" spans="1:13">
      <c r="A22" t="s">
        <v>59</v>
      </c>
    </row>
    <row r="23" spans="1:13">
      <c r="A23" t="s">
        <v>60</v>
      </c>
    </row>
    <row r="24" spans="1:13">
      <c r="A24" t="s">
        <v>61</v>
      </c>
    </row>
    <row r="25" spans="1:13">
      <c r="A25" t="s">
        <v>62</v>
      </c>
    </row>
    <row r="26" spans="1:13" ht="15">
      <c r="A26" s="11" t="s">
        <v>63</v>
      </c>
    </row>
    <row r="27" spans="1:13">
      <c r="A27" t="s">
        <v>64</v>
      </c>
    </row>
    <row r="33" spans="1:7" ht="15">
      <c r="A33" s="14" t="s">
        <v>65</v>
      </c>
    </row>
    <row r="34" spans="1:7" ht="15">
      <c r="A34" s="2" t="s">
        <v>66</v>
      </c>
      <c r="B34" s="1"/>
      <c r="C34" s="1" t="s">
        <v>7</v>
      </c>
      <c r="D34" t="s">
        <v>67</v>
      </c>
      <c r="G34" t="s">
        <v>68</v>
      </c>
    </row>
    <row r="35" spans="1:7" ht="15">
      <c r="A35" s="28" t="s">
        <v>14</v>
      </c>
      <c r="B35" s="34" t="s">
        <v>15</v>
      </c>
      <c r="C35" s="16">
        <v>175</v>
      </c>
      <c r="D35" s="18">
        <f>1/(C35*1000/1000000)</f>
        <v>5.7142857142857144</v>
      </c>
      <c r="E35">
        <f>SQRT(D35)</f>
        <v>2.3904572186687871</v>
      </c>
      <c r="G35">
        <f>(C35*1000/1000000)</f>
        <v>0.17499999999999999</v>
      </c>
    </row>
    <row r="36" spans="1:7" ht="15">
      <c r="A36" s="29" t="s">
        <v>16</v>
      </c>
      <c r="B36" s="35" t="s">
        <v>15</v>
      </c>
      <c r="C36" s="24">
        <v>1264.7</v>
      </c>
      <c r="D36" s="27">
        <f>1/(C36*1000/1000000)</f>
        <v>0.79070135209931214</v>
      </c>
      <c r="E36">
        <f t="shared" ref="E36:E43" si="0">SQRT(D36)</f>
        <v>0.88921389558379715</v>
      </c>
      <c r="G36">
        <f>(C36*1000/1000000)</f>
        <v>1.2646999999999999</v>
      </c>
    </row>
    <row r="37" spans="1:7" ht="15">
      <c r="A37" s="29" t="s">
        <v>17</v>
      </c>
      <c r="B37" s="36" t="s">
        <v>18</v>
      </c>
      <c r="C37" s="24">
        <v>396.3</v>
      </c>
      <c r="D37" s="27">
        <f>1/(C37*1000/1000000)</f>
        <v>2.5233409033560434</v>
      </c>
      <c r="E37">
        <f t="shared" si="0"/>
        <v>1.5885027237483866</v>
      </c>
      <c r="G37">
        <f>(C37*1000/1000000)</f>
        <v>0.39629999999999999</v>
      </c>
    </row>
    <row r="38" spans="1:7" ht="15">
      <c r="A38" s="30" t="s">
        <v>19</v>
      </c>
      <c r="B38" s="37" t="s">
        <v>20</v>
      </c>
      <c r="C38" s="17">
        <v>350.4</v>
      </c>
      <c r="D38" s="20">
        <f>1/(C38*1000/1000000)</f>
        <v>2.8538812785388128</v>
      </c>
      <c r="E38">
        <f t="shared" si="0"/>
        <v>1.6893434459987149</v>
      </c>
      <c r="G38">
        <f>(C38*1000/1000000)</f>
        <v>0.35039999999999999</v>
      </c>
    </row>
    <row r="39" spans="1:7" ht="15">
      <c r="A39" s="26" t="s">
        <v>69</v>
      </c>
      <c r="B39" s="23"/>
      <c r="C39" s="32">
        <v>55.8</v>
      </c>
      <c r="D39" s="27">
        <f>1/(C39*1000/1000000)</f>
        <v>17.921146953405017</v>
      </c>
      <c r="E39">
        <f t="shared" si="0"/>
        <v>4.2333375666730166</v>
      </c>
      <c r="G39">
        <f>(C39*1000/1000000)</f>
        <v>5.5800000000000002E-2</v>
      </c>
    </row>
    <row r="40" spans="1:7" ht="29.25">
      <c r="A40" s="19" t="s">
        <v>70</v>
      </c>
      <c r="B40" s="31">
        <v>2.3E-2</v>
      </c>
      <c r="C40" s="33">
        <f>C39/B40</f>
        <v>2426.086956521739</v>
      </c>
      <c r="D40" s="20">
        <f>1/(C40*1000/1000000)</f>
        <v>0.41218637992831547</v>
      </c>
      <c r="E40">
        <f t="shared" si="0"/>
        <v>0.64201742961411523</v>
      </c>
      <c r="G40" s="12">
        <f>(C40*1000/1000000)</f>
        <v>2.4260869565217389</v>
      </c>
    </row>
    <row r="41" spans="1:7" ht="15">
      <c r="A41" s="22" t="s">
        <v>25</v>
      </c>
      <c r="B41" s="23"/>
      <c r="C41" s="24">
        <v>80.099999999999994</v>
      </c>
      <c r="D41" s="25">
        <f>1/(C41*1000/1000000)</f>
        <v>12.484394506866415</v>
      </c>
      <c r="E41">
        <f t="shared" si="0"/>
        <v>3.5333262666878662</v>
      </c>
      <c r="G41">
        <f>(C41*1000/1000000)</f>
        <v>8.0100000000000005E-2</v>
      </c>
    </row>
    <row r="42" spans="1:7" ht="15">
      <c r="A42" s="15" t="s">
        <v>71</v>
      </c>
      <c r="B42" s="15"/>
      <c r="C42" s="15">
        <v>6703</v>
      </c>
      <c r="D42" s="21">
        <f>1/(C42*1000/1000000)</f>
        <v>0.14918693122482471</v>
      </c>
      <c r="E42">
        <f t="shared" si="0"/>
        <v>0.38624724105788083</v>
      </c>
    </row>
    <row r="43" spans="1:7" ht="15">
      <c r="A43" s="15" t="s">
        <v>72</v>
      </c>
      <c r="B43" s="15"/>
      <c r="C43" s="15">
        <v>34</v>
      </c>
      <c r="D43" s="21">
        <f>1/(C43*1000/1000000)</f>
        <v>29.411764705882351</v>
      </c>
      <c r="E43">
        <f t="shared" si="0"/>
        <v>5.4232614454664043</v>
      </c>
      <c r="G43" s="12"/>
    </row>
    <row r="44" spans="1:7" ht="15">
      <c r="A44" t="s">
        <v>73</v>
      </c>
      <c r="G44" s="12"/>
    </row>
    <row r="45" spans="1:7" ht="15">
      <c r="A45" t="s">
        <v>74</v>
      </c>
      <c r="G45">
        <f>(C42*1000/1000000)</f>
        <v>6.7030000000000003</v>
      </c>
    </row>
    <row r="46" spans="1:7">
      <c r="D46" s="12"/>
    </row>
    <row r="47" spans="1:7">
      <c r="D47" s="12"/>
    </row>
    <row r="48" spans="1:7">
      <c r="D48" s="12"/>
    </row>
    <row r="49" spans="1:7" ht="15">
      <c r="A49" s="2" t="s">
        <v>75</v>
      </c>
    </row>
    <row r="50" spans="1:7">
      <c r="A50" t="s">
        <v>76</v>
      </c>
      <c r="B50">
        <v>777</v>
      </c>
      <c r="C50" t="s">
        <v>77</v>
      </c>
    </row>
    <row r="51" spans="1:7">
      <c r="B51" s="38">
        <f>B50/3.6</f>
        <v>215.83333333333331</v>
      </c>
      <c r="C51" t="s">
        <v>78</v>
      </c>
    </row>
    <row r="53" spans="1:7">
      <c r="A53" t="s">
        <v>79</v>
      </c>
      <c r="D53" s="39">
        <v>250</v>
      </c>
      <c r="E53" t="s">
        <v>78</v>
      </c>
    </row>
    <row r="54" spans="1:7">
      <c r="A54" t="s">
        <v>80</v>
      </c>
      <c r="B54">
        <f>49.6/1000000*1000</f>
        <v>4.9599999999999998E-2</v>
      </c>
      <c r="C54" t="s">
        <v>81</v>
      </c>
      <c r="D54" s="5">
        <f>$D$53*B54</f>
        <v>12.4</v>
      </c>
      <c r="E54" t="s">
        <v>82</v>
      </c>
      <c r="F54" s="5">
        <f>$D$53/3400*1000</f>
        <v>73.529411764705884</v>
      </c>
      <c r="G54" t="s">
        <v>83</v>
      </c>
    </row>
    <row r="55" spans="1:7">
      <c r="A55" t="s">
        <v>84</v>
      </c>
      <c r="B55">
        <f>35.2/1000000*1000</f>
        <v>3.5200000000000002E-2</v>
      </c>
      <c r="C55" t="s">
        <v>81</v>
      </c>
      <c r="D55" s="5">
        <f t="shared" ref="D55:D58" si="1">$D$53*B55</f>
        <v>8.8000000000000007</v>
      </c>
      <c r="E55" t="s">
        <v>82</v>
      </c>
      <c r="F55" s="5">
        <f>D53/4325*1000</f>
        <v>57.803468208092482</v>
      </c>
      <c r="G55" t="s">
        <v>83</v>
      </c>
    </row>
    <row r="56" spans="1:7">
      <c r="A56" t="s">
        <v>85</v>
      </c>
      <c r="B56">
        <f>10.2/1000000*1000</f>
        <v>1.0199999999999999E-2</v>
      </c>
      <c r="C56" t="s">
        <v>81</v>
      </c>
      <c r="D56" s="5">
        <f t="shared" si="1"/>
        <v>2.5499999999999998</v>
      </c>
      <c r="E56" t="s">
        <v>82</v>
      </c>
      <c r="F56" s="5">
        <f>D53/1075*1000</f>
        <v>232.55813953488371</v>
      </c>
      <c r="G56" t="s">
        <v>83</v>
      </c>
    </row>
    <row r="57" spans="1:7">
      <c r="A57" t="s">
        <v>86</v>
      </c>
      <c r="B57">
        <f>900/1000000*1000/0.4</f>
        <v>2.25</v>
      </c>
      <c r="C57" t="s">
        <v>81</v>
      </c>
      <c r="D57" s="5">
        <f t="shared" si="1"/>
        <v>562.5</v>
      </c>
      <c r="E57" t="s">
        <v>82</v>
      </c>
    </row>
    <row r="58" spans="1:7">
      <c r="A58" t="s">
        <v>87</v>
      </c>
      <c r="B58">
        <f>470/1000000*1000/0.5</f>
        <v>0.94</v>
      </c>
      <c r="C58" t="s">
        <v>81</v>
      </c>
      <c r="D58" s="5">
        <f t="shared" si="1"/>
        <v>235</v>
      </c>
      <c r="E58" t="s">
        <v>82</v>
      </c>
    </row>
    <row r="61" spans="1:7">
      <c r="A61" t="s">
        <v>88</v>
      </c>
      <c r="B61">
        <v>3</v>
      </c>
      <c r="C61" t="s">
        <v>89</v>
      </c>
      <c r="D61">
        <f>4500*B61</f>
        <v>13500</v>
      </c>
      <c r="E61" t="s">
        <v>78</v>
      </c>
    </row>
    <row r="62" spans="1:7">
      <c r="D62">
        <f>D61/B51</f>
        <v>62.548262548262556</v>
      </c>
    </row>
  </sheetData>
  <mergeCells count="1">
    <mergeCell ref="D1:E1"/>
  </mergeCells>
  <hyperlinks>
    <hyperlink ref="A26" r:id="rId1" xr:uid="{D816F8AD-75A5-441A-B6EF-249A94B1B3F0}"/>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cs xmlns="4d8ab408-a241-4f68-8c57-ec7e945f795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13730D481B55B242842460F526853437" ma:contentTypeVersion="5" ma:contentTypeDescription="Skapa ett nytt dokument." ma:contentTypeScope="" ma:versionID="047c3d104a6d3e26adf3d37428d77e90">
  <xsd:schema xmlns:xsd="http://www.w3.org/2001/XMLSchema" xmlns:xs="http://www.w3.org/2001/XMLSchema" xmlns:p="http://schemas.microsoft.com/office/2006/metadata/properties" xmlns:ns2="4d8ab408-a241-4f68-8c57-ec7e945f795d" targetNamespace="http://schemas.microsoft.com/office/2006/metadata/properties" ma:root="true" ma:fieldsID="4ac3a98e43a51e7ae9583039a76573c3" ns2:_="">
    <xsd:import namespace="4d8ab408-a241-4f68-8c57-ec7e945f79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Dec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8ab408-a241-4f68-8c57-ec7e945f79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Decs" ma:index="12" nillable="true" ma:displayName="Decs" ma:format="Dropdown" ma:internalName="Dec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410E3B-F0EA-4320-804F-44AF92794E81}"/>
</file>

<file path=customXml/itemProps2.xml><?xml version="1.0" encoding="utf-8"?>
<ds:datastoreItem xmlns:ds="http://schemas.openxmlformats.org/officeDocument/2006/customXml" ds:itemID="{D7F9C08E-A14E-44B6-A1BC-431C7CC629A9}"/>
</file>

<file path=customXml/itemProps3.xml><?xml version="1.0" encoding="utf-8"?>
<ds:datastoreItem xmlns:ds="http://schemas.openxmlformats.org/officeDocument/2006/customXml" ds:itemID="{124A31DE-12AF-4ECD-8C54-5DF8691356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Thor Alexis Salazar Sazon</dc:creator>
  <cp:keywords/>
  <dc:description/>
  <cp:lastModifiedBy/>
  <cp:revision/>
  <dcterms:created xsi:type="dcterms:W3CDTF">2025-07-10T10:20:42Z</dcterms:created>
  <dcterms:modified xsi:type="dcterms:W3CDTF">2026-03-03T10:13:50Z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0x01010013730D481B55B242842460F526853437</vt:lpwstr>
  </property>
</Properties>
</file>